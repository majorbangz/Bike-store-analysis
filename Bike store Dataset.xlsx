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chineduosisiogu/Downloads/"/>
    </mc:Choice>
  </mc:AlternateContent>
  <xr:revisionPtr revIDLastSave="0" documentId="8_{578D9455-AA0D-4143-BEF7-CD64D1FB155C}" xr6:coauthVersionLast="47" xr6:coauthVersionMax="47" xr10:uidLastSave="{00000000-0000-0000-0000-000000000000}"/>
  <bookViews>
    <workbookView xWindow="-20" yWindow="680" windowWidth="34200" windowHeight="19860" activeTab="3" xr2:uid="{00000000-000D-0000-FFFF-FFFF00000000}"/>
  </bookViews>
  <sheets>
    <sheet name="bike_buyers" sheetId="1" r:id="rId1"/>
    <sheet name="Working Sheet" sheetId="4" r:id="rId2"/>
    <sheet name="Pivot Tabe" sheetId="3" r:id="rId3"/>
    <sheet name="Dashboard" sheetId="2"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2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<sst xmlns="http://schemas.openxmlformats.org/spreadsheetml/2006/main" count="16267" uniqueCount="51">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</sst>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 Dataset.xlsx]Pivot Tabe!PivotTable2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Tabe'!$B$3:$B$4</c:f>
              <c:strCache>
                <c:ptCount val="1"/>
                <c:pt idx="0">
                  <c:v>No</c:v>
                </c:pt>
              </c:strCache>
            </c:strRef>
          </c:tx>
          <c:spPr>
            <a:solidFill>
              <a:schemeClr val="accent1"/>
            </a:solidFill>
            <a:ln>
              <a:noFill/>
            </a:ln>
            <a:effectLst/>
          </c:spPr>
          <c:invertIfNegative val="0"/>
          <c:cat>
            <c:strRef>
              <c:f>'Pivot Tabe'!$A$5:$A$7</c:f>
              <c:strCache>
                <c:ptCount val="2"/>
                <c:pt idx="0">
                  <c:v>Female</c:v>
                </c:pt>
                <c:pt idx="1">
                  <c:v>Male</c:v>
                </c:pt>
              </c:strCache>
            </c:strRef>
          </c:cat>
          <c:val>
            <c:numRef>
              <c:f>'Pivot Tabe'!$B$5:$B$7</c:f>
              <c:numCache>
                <c:formatCode>"$"#,##0</c:formatCode>
                <c:ptCount val="2"/>
                <c:pt idx="0">
                  <c:v>53440</c:v>
                </c:pt>
                <c:pt idx="1">
                  <c:v>56208.178438661707</c:v>
                </c:pt>
              </c:numCache>
            </c:numRef>
          </c:val>
          <c:extLst>
            <c:ext xmlns:c16="http://schemas.microsoft.com/office/drawing/2014/chart" uri="{C3380CC4-5D6E-409C-BE32-E72D297353CC}">
              <c16:uniqueId val="{00000000-D873-AE43-BCA6-CA0CC30C50CD}"/>
            </c:ext>
          </c:extLst>
        </c:ser>
        <c:ser>
          <c:idx val="1"/>
          <c:order val="1"/>
          <c:tx>
            <c:strRef>
              <c:f>'Pivot Tabe'!$C$3:$C$4</c:f>
              <c:strCache>
                <c:ptCount val="1"/>
                <c:pt idx="0">
                  <c:v>Yes</c:v>
                </c:pt>
              </c:strCache>
            </c:strRef>
          </c:tx>
          <c:spPr>
            <a:solidFill>
              <a:schemeClr val="accent2"/>
            </a:solidFill>
            <a:ln>
              <a:noFill/>
            </a:ln>
            <a:effectLst/>
          </c:spPr>
          <c:invertIfNegative val="0"/>
          <c:cat>
            <c:strRef>
              <c:f>'Pivot Tabe'!$A$5:$A$7</c:f>
              <c:strCache>
                <c:ptCount val="2"/>
                <c:pt idx="0">
                  <c:v>Female</c:v>
                </c:pt>
                <c:pt idx="1">
                  <c:v>Male</c:v>
                </c:pt>
              </c:strCache>
            </c:strRef>
          </c:cat>
          <c:val>
            <c:numRef>
              <c:f>'Pivot Tabe'!$C$5:$C$7</c:f>
              <c:numCache>
                <c:formatCode>"$"#,##0</c:formatCode>
                <c:ptCount val="2"/>
                <c:pt idx="0">
                  <c:v>55774.058577405856</c:v>
                </c:pt>
                <c:pt idx="1">
                  <c:v>60123.966942148763</c:v>
                </c:pt>
              </c:numCache>
            </c:numRef>
          </c:val>
          <c:extLst>
            <c:ext xmlns:c16="http://schemas.microsoft.com/office/drawing/2014/chart" uri="{C3380CC4-5D6E-409C-BE32-E72D297353CC}">
              <c16:uniqueId val="{00000001-D873-AE43-BCA6-CA0CC30C50CD}"/>
            </c:ext>
          </c:extLst>
        </c:ser>
        <c:dLbls>
          <c:showLegendKey val="0"/>
          <c:showVal val="0"/>
          <c:showCatName val="0"/>
          <c:showSerName val="0"/>
          <c:showPercent val="0"/>
          <c:showBubbleSize val="0"/>
        </c:dLbls>
        <c:gapWidth val="150"/>
        <c:axId val="231225792"/>
        <c:axId val="214172544"/>
      </c:barChart>
      <c:catAx>
        <c:axId val="231225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72544"/>
        <c:crosses val="autoZero"/>
        <c:auto val="1"/>
        <c:lblAlgn val="ctr"/>
        <c:lblOffset val="100"/>
        <c:noMultiLvlLbl val="0"/>
      </c:catAx>
      <c:valAx>
        <c:axId val="214172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22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 Dataset.xlsx]Pivot Tabe!PivotTable4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Tabe'!$B$55:$B$56</c:f>
              <c:strCache>
                <c:ptCount val="1"/>
                <c:pt idx="0">
                  <c:v>No</c:v>
                </c:pt>
              </c:strCache>
            </c:strRef>
          </c:tx>
          <c:spPr>
            <a:solidFill>
              <a:schemeClr val="accent1"/>
            </a:solidFill>
            <a:ln>
              <a:noFill/>
            </a:ln>
            <a:effectLst/>
          </c:spPr>
          <c:invertIfNegative val="0"/>
          <c:cat>
            <c:strRef>
              <c:f>'Pivot Tabe'!$A$57:$A$60</c:f>
              <c:strCache>
                <c:ptCount val="3"/>
                <c:pt idx="0">
                  <c:v>Adolescent</c:v>
                </c:pt>
                <c:pt idx="1">
                  <c:v>Middle Age</c:v>
                </c:pt>
                <c:pt idx="2">
                  <c:v>Old</c:v>
                </c:pt>
              </c:strCache>
            </c:strRef>
          </c:cat>
          <c:val>
            <c:numRef>
              <c:f>'Pivot Tabe'!$B$57:$B$60</c:f>
              <c:numCache>
                <c:formatCode>General</c:formatCode>
                <c:ptCount val="3"/>
                <c:pt idx="0">
                  <c:v>71</c:v>
                </c:pt>
                <c:pt idx="1">
                  <c:v>318</c:v>
                </c:pt>
                <c:pt idx="2">
                  <c:v>130</c:v>
                </c:pt>
              </c:numCache>
            </c:numRef>
          </c:val>
          <c:extLst>
            <c:ext xmlns:c16="http://schemas.microsoft.com/office/drawing/2014/chart" uri="{C3380CC4-5D6E-409C-BE32-E72D297353CC}">
              <c16:uniqueId val="{00000000-26C2-A643-8AB1-5F1BA86AE0D1}"/>
            </c:ext>
          </c:extLst>
        </c:ser>
        <c:ser>
          <c:idx val="1"/>
          <c:order val="1"/>
          <c:tx>
            <c:strRef>
              <c:f>'Pivot Tabe'!$C$55:$C$56</c:f>
              <c:strCache>
                <c:ptCount val="1"/>
                <c:pt idx="0">
                  <c:v>Yes</c:v>
                </c:pt>
              </c:strCache>
            </c:strRef>
          </c:tx>
          <c:spPr>
            <a:solidFill>
              <a:schemeClr val="accent2"/>
            </a:solidFill>
            <a:ln>
              <a:noFill/>
            </a:ln>
            <a:effectLst/>
          </c:spPr>
          <c:invertIfNegative val="0"/>
          <c:cat>
            <c:strRef>
              <c:f>'Pivot Tabe'!$A$57:$A$60</c:f>
              <c:strCache>
                <c:ptCount val="3"/>
                <c:pt idx="0">
                  <c:v>Adolescent</c:v>
                </c:pt>
                <c:pt idx="1">
                  <c:v>Middle Age</c:v>
                </c:pt>
                <c:pt idx="2">
                  <c:v>Old</c:v>
                </c:pt>
              </c:strCache>
            </c:strRef>
          </c:cat>
          <c:val>
            <c:numRef>
              <c:f>'Pivot Tabe'!$C$57:$C$60</c:f>
              <c:numCache>
                <c:formatCode>General</c:formatCode>
                <c:ptCount val="3"/>
                <c:pt idx="0">
                  <c:v>39</c:v>
                </c:pt>
                <c:pt idx="1">
                  <c:v>383</c:v>
                </c:pt>
                <c:pt idx="2">
                  <c:v>59</c:v>
                </c:pt>
              </c:numCache>
            </c:numRef>
          </c:val>
          <c:extLst>
            <c:ext xmlns:c16="http://schemas.microsoft.com/office/drawing/2014/chart" uri="{C3380CC4-5D6E-409C-BE32-E72D297353CC}">
              <c16:uniqueId val="{00000001-26C2-A643-8AB1-5F1BA86AE0D1}"/>
            </c:ext>
          </c:extLst>
        </c:ser>
        <c:dLbls>
          <c:showLegendKey val="0"/>
          <c:showVal val="0"/>
          <c:showCatName val="0"/>
          <c:showSerName val="0"/>
          <c:showPercent val="0"/>
          <c:showBubbleSize val="0"/>
        </c:dLbls>
        <c:gapWidth val="150"/>
        <c:axId val="650965696"/>
        <c:axId val="652541248"/>
      </c:barChart>
      <c:catAx>
        <c:axId val="650965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541248"/>
        <c:crosses val="autoZero"/>
        <c:auto val="1"/>
        <c:lblAlgn val="ctr"/>
        <c:lblOffset val="100"/>
        <c:noMultiLvlLbl val="0"/>
      </c:catAx>
      <c:valAx>
        <c:axId val="65254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96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 Dataset.xlsx]Pivot Tabe!PivotTable3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Tabe'!$B$31:$B$32</c:f>
              <c:strCache>
                <c:ptCount val="1"/>
                <c:pt idx="0">
                  <c:v>No</c:v>
                </c:pt>
              </c:strCache>
            </c:strRef>
          </c:tx>
          <c:spPr>
            <a:solidFill>
              <a:schemeClr val="accent1"/>
            </a:solidFill>
            <a:ln>
              <a:noFill/>
            </a:ln>
            <a:effectLst/>
          </c:spPr>
          <c:invertIfNegative val="0"/>
          <c:cat>
            <c:strRef>
              <c:f>'Pivot Tabe'!$A$33:$A$38</c:f>
              <c:strCache>
                <c:ptCount val="5"/>
                <c:pt idx="0">
                  <c:v>0-1 Miles</c:v>
                </c:pt>
                <c:pt idx="1">
                  <c:v>1-2 Miles</c:v>
                </c:pt>
                <c:pt idx="2">
                  <c:v>2-5 Miles</c:v>
                </c:pt>
                <c:pt idx="3">
                  <c:v>5-10 Miles</c:v>
                </c:pt>
                <c:pt idx="4">
                  <c:v>More than 10 Miles</c:v>
                </c:pt>
              </c:strCache>
            </c:strRef>
          </c:cat>
          <c:val>
            <c:numRef>
              <c:f>'Pivot Tabe'!$B$33:$B$38</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70FE-AB41-A796-4DA6B99A3435}"/>
            </c:ext>
          </c:extLst>
        </c:ser>
        <c:ser>
          <c:idx val="1"/>
          <c:order val="1"/>
          <c:tx>
            <c:strRef>
              <c:f>'Pivot Tabe'!$C$31:$C$32</c:f>
              <c:strCache>
                <c:ptCount val="1"/>
                <c:pt idx="0">
                  <c:v>Yes</c:v>
                </c:pt>
              </c:strCache>
            </c:strRef>
          </c:tx>
          <c:spPr>
            <a:solidFill>
              <a:schemeClr val="accent2"/>
            </a:solidFill>
            <a:ln>
              <a:noFill/>
            </a:ln>
            <a:effectLst/>
          </c:spPr>
          <c:invertIfNegative val="0"/>
          <c:cat>
            <c:strRef>
              <c:f>'Pivot Tabe'!$A$33:$A$38</c:f>
              <c:strCache>
                <c:ptCount val="5"/>
                <c:pt idx="0">
                  <c:v>0-1 Miles</c:v>
                </c:pt>
                <c:pt idx="1">
                  <c:v>1-2 Miles</c:v>
                </c:pt>
                <c:pt idx="2">
                  <c:v>2-5 Miles</c:v>
                </c:pt>
                <c:pt idx="3">
                  <c:v>5-10 Miles</c:v>
                </c:pt>
                <c:pt idx="4">
                  <c:v>More than 10 Miles</c:v>
                </c:pt>
              </c:strCache>
            </c:strRef>
          </c:cat>
          <c:val>
            <c:numRef>
              <c:f>'Pivot Tabe'!$C$33:$C$38</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70FE-AB41-A796-4DA6B99A3435}"/>
            </c:ext>
          </c:extLst>
        </c:ser>
        <c:dLbls>
          <c:showLegendKey val="0"/>
          <c:showVal val="0"/>
          <c:showCatName val="0"/>
          <c:showSerName val="0"/>
          <c:showPercent val="0"/>
          <c:showBubbleSize val="0"/>
        </c:dLbls>
        <c:gapWidth val="219"/>
        <c:overlap val="-27"/>
        <c:axId val="512512384"/>
        <c:axId val="492921152"/>
      </c:barChart>
      <c:catAx>
        <c:axId val="512512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921152"/>
        <c:crosses val="autoZero"/>
        <c:auto val="1"/>
        <c:lblAlgn val="ctr"/>
        <c:lblOffset val="100"/>
        <c:noMultiLvlLbl val="0"/>
      </c:catAx>
      <c:valAx>
        <c:axId val="49292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51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 Dataset.xlsx]Pivot Tabe!PivotTable2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Tabe'!$B$3:$B$4</c:f>
              <c:strCache>
                <c:ptCount val="1"/>
                <c:pt idx="0">
                  <c:v>No</c:v>
                </c:pt>
              </c:strCache>
            </c:strRef>
          </c:tx>
          <c:spPr>
            <a:solidFill>
              <a:schemeClr val="accent1"/>
            </a:solidFill>
            <a:ln>
              <a:noFill/>
            </a:ln>
            <a:effectLst/>
          </c:spPr>
          <c:invertIfNegative val="0"/>
          <c:cat>
            <c:strRef>
              <c:f>'Pivot Tabe'!$A$5:$A$7</c:f>
              <c:strCache>
                <c:ptCount val="2"/>
                <c:pt idx="0">
                  <c:v>Female</c:v>
                </c:pt>
                <c:pt idx="1">
                  <c:v>Male</c:v>
                </c:pt>
              </c:strCache>
            </c:strRef>
          </c:cat>
          <c:val>
            <c:numRef>
              <c:f>'Pivot Tabe'!$B$5:$B$7</c:f>
              <c:numCache>
                <c:formatCode>"$"#,##0</c:formatCode>
                <c:ptCount val="2"/>
                <c:pt idx="0">
                  <c:v>53440</c:v>
                </c:pt>
                <c:pt idx="1">
                  <c:v>56208.178438661707</c:v>
                </c:pt>
              </c:numCache>
            </c:numRef>
          </c:val>
          <c:extLst>
            <c:ext xmlns:c16="http://schemas.microsoft.com/office/drawing/2014/chart" uri="{C3380CC4-5D6E-409C-BE32-E72D297353CC}">
              <c16:uniqueId val="{00000000-0F31-F740-9029-BAB1848DCD66}"/>
            </c:ext>
          </c:extLst>
        </c:ser>
        <c:ser>
          <c:idx val="1"/>
          <c:order val="1"/>
          <c:tx>
            <c:strRef>
              <c:f>'Pivot Tabe'!$C$3:$C$4</c:f>
              <c:strCache>
                <c:ptCount val="1"/>
                <c:pt idx="0">
                  <c:v>Yes</c:v>
                </c:pt>
              </c:strCache>
            </c:strRef>
          </c:tx>
          <c:spPr>
            <a:solidFill>
              <a:schemeClr val="accent2"/>
            </a:solidFill>
            <a:ln>
              <a:noFill/>
            </a:ln>
            <a:effectLst/>
          </c:spPr>
          <c:invertIfNegative val="0"/>
          <c:cat>
            <c:strRef>
              <c:f>'Pivot Tabe'!$A$5:$A$7</c:f>
              <c:strCache>
                <c:ptCount val="2"/>
                <c:pt idx="0">
                  <c:v>Female</c:v>
                </c:pt>
                <c:pt idx="1">
                  <c:v>Male</c:v>
                </c:pt>
              </c:strCache>
            </c:strRef>
          </c:cat>
          <c:val>
            <c:numRef>
              <c:f>'Pivot Tabe'!$C$5:$C$7</c:f>
              <c:numCache>
                <c:formatCode>"$"#,##0</c:formatCode>
                <c:ptCount val="2"/>
                <c:pt idx="0">
                  <c:v>55774.058577405856</c:v>
                </c:pt>
                <c:pt idx="1">
                  <c:v>60123.966942148763</c:v>
                </c:pt>
              </c:numCache>
            </c:numRef>
          </c:val>
          <c:extLst>
            <c:ext xmlns:c16="http://schemas.microsoft.com/office/drawing/2014/chart" uri="{C3380CC4-5D6E-409C-BE32-E72D297353CC}">
              <c16:uniqueId val="{00000001-0F31-F740-9029-BAB1848DCD66}"/>
            </c:ext>
          </c:extLst>
        </c:ser>
        <c:dLbls>
          <c:showLegendKey val="0"/>
          <c:showVal val="0"/>
          <c:showCatName val="0"/>
          <c:showSerName val="0"/>
          <c:showPercent val="0"/>
          <c:showBubbleSize val="0"/>
        </c:dLbls>
        <c:gapWidth val="150"/>
        <c:axId val="231225792"/>
        <c:axId val="214172544"/>
      </c:barChart>
      <c:catAx>
        <c:axId val="231225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72544"/>
        <c:crosses val="autoZero"/>
        <c:auto val="1"/>
        <c:lblAlgn val="ctr"/>
        <c:lblOffset val="100"/>
        <c:noMultiLvlLbl val="0"/>
      </c:catAx>
      <c:valAx>
        <c:axId val="214172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22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 Dataset.xlsx]Pivot Tabe!PivotTable3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Tabe'!$B$31:$B$32</c:f>
              <c:strCache>
                <c:ptCount val="1"/>
                <c:pt idx="0">
                  <c:v>No</c:v>
                </c:pt>
              </c:strCache>
            </c:strRef>
          </c:tx>
          <c:spPr>
            <a:solidFill>
              <a:schemeClr val="accent1"/>
            </a:solidFill>
            <a:ln>
              <a:noFill/>
            </a:ln>
            <a:effectLst/>
          </c:spPr>
          <c:invertIfNegative val="0"/>
          <c:cat>
            <c:strRef>
              <c:f>'Pivot Tabe'!$A$33:$A$38</c:f>
              <c:strCache>
                <c:ptCount val="5"/>
                <c:pt idx="0">
                  <c:v>0-1 Miles</c:v>
                </c:pt>
                <c:pt idx="1">
                  <c:v>1-2 Miles</c:v>
                </c:pt>
                <c:pt idx="2">
                  <c:v>2-5 Miles</c:v>
                </c:pt>
                <c:pt idx="3">
                  <c:v>5-10 Miles</c:v>
                </c:pt>
                <c:pt idx="4">
                  <c:v>More than 10 Miles</c:v>
                </c:pt>
              </c:strCache>
            </c:strRef>
          </c:cat>
          <c:val>
            <c:numRef>
              <c:f>'Pivot Tabe'!$B$33:$B$38</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1-E4C9-0343-BB2E-3E6741C73D3F}"/>
            </c:ext>
          </c:extLst>
        </c:ser>
        <c:ser>
          <c:idx val="1"/>
          <c:order val="1"/>
          <c:tx>
            <c:strRef>
              <c:f>'Pivot Tabe'!$C$31:$C$32</c:f>
              <c:strCache>
                <c:ptCount val="1"/>
                <c:pt idx="0">
                  <c:v>Yes</c:v>
                </c:pt>
              </c:strCache>
            </c:strRef>
          </c:tx>
          <c:spPr>
            <a:solidFill>
              <a:schemeClr val="accent2"/>
            </a:solidFill>
            <a:ln>
              <a:noFill/>
            </a:ln>
            <a:effectLst/>
          </c:spPr>
          <c:invertIfNegative val="0"/>
          <c:cat>
            <c:strRef>
              <c:f>'Pivot Tabe'!$A$33:$A$38</c:f>
              <c:strCache>
                <c:ptCount val="5"/>
                <c:pt idx="0">
                  <c:v>0-1 Miles</c:v>
                </c:pt>
                <c:pt idx="1">
                  <c:v>1-2 Miles</c:v>
                </c:pt>
                <c:pt idx="2">
                  <c:v>2-5 Miles</c:v>
                </c:pt>
                <c:pt idx="3">
                  <c:v>5-10 Miles</c:v>
                </c:pt>
                <c:pt idx="4">
                  <c:v>More than 10 Miles</c:v>
                </c:pt>
              </c:strCache>
            </c:strRef>
          </c:cat>
          <c:val>
            <c:numRef>
              <c:f>'Pivot Tabe'!$C$33:$C$38</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3-E4C9-0343-BB2E-3E6741C73D3F}"/>
            </c:ext>
          </c:extLst>
        </c:ser>
        <c:dLbls>
          <c:showLegendKey val="0"/>
          <c:showVal val="0"/>
          <c:showCatName val="0"/>
          <c:showSerName val="0"/>
          <c:showPercent val="0"/>
          <c:showBubbleSize val="0"/>
        </c:dLbls>
        <c:gapWidth val="219"/>
        <c:overlap val="-27"/>
        <c:axId val="512512384"/>
        <c:axId val="492921152"/>
      </c:barChart>
      <c:catAx>
        <c:axId val="512512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921152"/>
        <c:crosses val="autoZero"/>
        <c:auto val="1"/>
        <c:lblAlgn val="ctr"/>
        <c:lblOffset val="100"/>
        <c:noMultiLvlLbl val="0"/>
      </c:catAx>
      <c:valAx>
        <c:axId val="49292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51238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 Dataset.xlsx]Pivot Tabe!PivotTable4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Tabe'!$B$55:$B$56</c:f>
              <c:strCache>
                <c:ptCount val="1"/>
                <c:pt idx="0">
                  <c:v>No</c:v>
                </c:pt>
              </c:strCache>
            </c:strRef>
          </c:tx>
          <c:spPr>
            <a:solidFill>
              <a:schemeClr val="accent1"/>
            </a:solidFill>
            <a:ln>
              <a:noFill/>
            </a:ln>
            <a:effectLst/>
          </c:spPr>
          <c:invertIfNegative val="0"/>
          <c:cat>
            <c:strRef>
              <c:f>'Pivot Tabe'!$A$57:$A$60</c:f>
              <c:strCache>
                <c:ptCount val="3"/>
                <c:pt idx="0">
                  <c:v>Adolescent</c:v>
                </c:pt>
                <c:pt idx="1">
                  <c:v>Middle Age</c:v>
                </c:pt>
                <c:pt idx="2">
                  <c:v>Old</c:v>
                </c:pt>
              </c:strCache>
            </c:strRef>
          </c:cat>
          <c:val>
            <c:numRef>
              <c:f>'Pivot Tabe'!$B$57:$B$60</c:f>
              <c:numCache>
                <c:formatCode>General</c:formatCode>
                <c:ptCount val="3"/>
                <c:pt idx="0">
                  <c:v>71</c:v>
                </c:pt>
                <c:pt idx="1">
                  <c:v>318</c:v>
                </c:pt>
                <c:pt idx="2">
                  <c:v>130</c:v>
                </c:pt>
              </c:numCache>
            </c:numRef>
          </c:val>
          <c:extLst>
            <c:ext xmlns:c16="http://schemas.microsoft.com/office/drawing/2014/chart" uri="{C3380CC4-5D6E-409C-BE32-E72D297353CC}">
              <c16:uniqueId val="{00000001-DFCA-2A49-B7B9-D96F69978B5C}"/>
            </c:ext>
          </c:extLst>
        </c:ser>
        <c:ser>
          <c:idx val="1"/>
          <c:order val="1"/>
          <c:tx>
            <c:strRef>
              <c:f>'Pivot Tabe'!$C$55:$C$56</c:f>
              <c:strCache>
                <c:ptCount val="1"/>
                <c:pt idx="0">
                  <c:v>Yes</c:v>
                </c:pt>
              </c:strCache>
            </c:strRef>
          </c:tx>
          <c:spPr>
            <a:solidFill>
              <a:schemeClr val="accent2"/>
            </a:solidFill>
            <a:ln>
              <a:noFill/>
            </a:ln>
            <a:effectLst/>
          </c:spPr>
          <c:invertIfNegative val="0"/>
          <c:cat>
            <c:strRef>
              <c:f>'Pivot Tabe'!$A$57:$A$60</c:f>
              <c:strCache>
                <c:ptCount val="3"/>
                <c:pt idx="0">
                  <c:v>Adolescent</c:v>
                </c:pt>
                <c:pt idx="1">
                  <c:v>Middle Age</c:v>
                </c:pt>
                <c:pt idx="2">
                  <c:v>Old</c:v>
                </c:pt>
              </c:strCache>
            </c:strRef>
          </c:cat>
          <c:val>
            <c:numRef>
              <c:f>'Pivot Tabe'!$C$57:$C$60</c:f>
              <c:numCache>
                <c:formatCode>General</c:formatCode>
                <c:ptCount val="3"/>
                <c:pt idx="0">
                  <c:v>39</c:v>
                </c:pt>
                <c:pt idx="1">
                  <c:v>383</c:v>
                </c:pt>
                <c:pt idx="2">
                  <c:v>59</c:v>
                </c:pt>
              </c:numCache>
            </c:numRef>
          </c:val>
          <c:extLst>
            <c:ext xmlns:c16="http://schemas.microsoft.com/office/drawing/2014/chart" uri="{C3380CC4-5D6E-409C-BE32-E72D297353CC}">
              <c16:uniqueId val="{00000003-DFCA-2A49-B7B9-D96F69978B5C}"/>
            </c:ext>
          </c:extLst>
        </c:ser>
        <c:dLbls>
          <c:showLegendKey val="0"/>
          <c:showVal val="0"/>
          <c:showCatName val="0"/>
          <c:showSerName val="0"/>
          <c:showPercent val="0"/>
          <c:showBubbleSize val="0"/>
        </c:dLbls>
        <c:gapWidth val="150"/>
        <c:axId val="650965696"/>
        <c:axId val="652541248"/>
      </c:barChart>
      <c:catAx>
        <c:axId val="650965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541248"/>
        <c:crosses val="autoZero"/>
        <c:auto val="1"/>
        <c:lblAlgn val="ctr"/>
        <c:lblOffset val="100"/>
        <c:noMultiLvlLbl val="0"/>
      </c:catAx>
      <c:valAx>
        <c:axId val="65254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96569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368300</xdr:colOff>
      <xdr:row>4</xdr:row>
      <xdr:rowOff>38100</xdr:rowOff>
    </xdr:from>
    <xdr:to>
      <xdr:col>15</xdr:col>
      <xdr:colOff>25400</xdr:colOff>
      <xdr:row>23</xdr:row>
      <xdr:rowOff>139700</xdr:rowOff>
    </xdr:to>
    <xdr:graphicFrame macro="">
      <xdr:nvGraphicFramePr>
        <xdr:cNvPr id="2" name="Chart 1">
          <a:extLst>
            <a:ext uri="{FF2B5EF4-FFF2-40B4-BE49-F238E27FC236}">
              <a16:creationId xmlns:a16="http://schemas.microsoft.com/office/drawing/2014/main" id="{D850378A-0FB0-D696-715B-1353AA4F4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292100</xdr:colOff>
      <xdr:row>53</xdr:row>
      <xdr:rowOff>50800</xdr:rowOff>
    </xdr:from>
    <xdr:to>
      <xdr:col>11</xdr:col>
      <xdr:colOff>736600</xdr:colOff>
      <xdr:row>67</xdr:row>
      <xdr:rowOff>127000</xdr:rowOff>
    </xdr:to>
    <xdr:graphicFrame macro="">
      <xdr:nvGraphicFramePr>
        <xdr:cNvPr id="5" name="Chart 4">
          <a:extLst>
            <a:ext uri="{FF2B5EF4-FFF2-40B4-BE49-F238E27FC236}">
              <a16:creationId xmlns:a16="http://schemas.microsoft.com/office/drawing/2014/main" id="{4B964AFF-6350-735B-E192-650CA2888C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279400</xdr:colOff>
      <xdr:row>28</xdr:row>
      <xdr:rowOff>88900</xdr:rowOff>
    </xdr:from>
    <xdr:to>
      <xdr:col>13</xdr:col>
      <xdr:colOff>114300</xdr:colOff>
      <xdr:row>45</xdr:row>
      <xdr:rowOff>12700</xdr:rowOff>
    </xdr:to>
    <xdr:graphicFrame macro="">
      <xdr:nvGraphicFramePr>
        <xdr:cNvPr id="4" name="Chart 3">
          <a:extLst>
            <a:ext uri="{FF2B5EF4-FFF2-40B4-BE49-F238E27FC236}">
              <a16:creationId xmlns:a16="http://schemas.microsoft.com/office/drawing/2014/main" id="{9007F098-5B93-6630-E9D4-15D823414C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381000</xdr:colOff>
      <xdr:row>7</xdr:row>
      <xdr:rowOff>114300</xdr:rowOff>
    </xdr:from>
    <xdr:to>
      <xdr:col>8</xdr:col>
      <xdr:colOff>241300</xdr:colOff>
      <xdr:row>24</xdr:row>
      <xdr:rowOff>88900</xdr:rowOff>
    </xdr:to>
    <xdr:graphicFrame macro="">
      <xdr:nvGraphicFramePr>
        <xdr:cNvPr id="2" name="Chart 1">
          <a:extLst>
            <a:ext uri="{FF2B5EF4-FFF2-40B4-BE49-F238E27FC236}">
              <a16:creationId xmlns:a16="http://schemas.microsoft.com/office/drawing/2014/main" id="{DC55A4E2-087B-FB4E-A142-E83939EDC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381000</xdr:colOff>
      <xdr:row>24</xdr:row>
      <xdr:rowOff>139700</xdr:rowOff>
    </xdr:from>
    <xdr:to>
      <xdr:col>15</xdr:col>
      <xdr:colOff>50800</xdr:colOff>
      <xdr:row>42</xdr:row>
      <xdr:rowOff>114300</xdr:rowOff>
    </xdr:to>
    <xdr:graphicFrame macro="">
      <xdr:nvGraphicFramePr>
        <xdr:cNvPr id="3" name="Chart 2">
          <a:extLst>
            <a:ext uri="{FF2B5EF4-FFF2-40B4-BE49-F238E27FC236}">
              <a16:creationId xmlns:a16="http://schemas.microsoft.com/office/drawing/2014/main" id="{F372E92A-A74F-684C-902A-D1E13DC7C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304800</xdr:colOff>
      <xdr:row>7</xdr:row>
      <xdr:rowOff>63500</xdr:rowOff>
    </xdr:from>
    <xdr:to>
      <xdr:col>15</xdr:col>
      <xdr:colOff>38100</xdr:colOff>
      <xdr:row>24</xdr:row>
      <xdr:rowOff>76200</xdr:rowOff>
    </xdr:to>
    <xdr:graphicFrame macro="">
      <xdr:nvGraphicFramePr>
        <xdr:cNvPr id="4" name="Chart 3">
          <a:extLst>
            <a:ext uri="{FF2B5EF4-FFF2-40B4-BE49-F238E27FC236}">
              <a16:creationId xmlns:a16="http://schemas.microsoft.com/office/drawing/2014/main" id="{C6BF9DB0-29DD-1C49-8164-8771C0495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228600</xdr:colOff>
      <xdr:row>7</xdr:row>
      <xdr:rowOff>139700</xdr:rowOff>
    </xdr:from>
    <xdr:to>
      <xdr:col>3</xdr:col>
      <xdr:colOff>317500</xdr:colOff>
      <xdr:row>12</xdr:row>
      <xdr:rowOff>177799</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5FBEF56-E67B-2C91-8609-1DB4E38EA20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28600" y="1473200"/>
              <a:ext cx="2565400" cy="990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215900</xdr:colOff>
      <xdr:row>19</xdr:row>
      <xdr:rowOff>152401</xdr:rowOff>
    </xdr:from>
    <xdr:to>
      <xdr:col>3</xdr:col>
      <xdr:colOff>304800</xdr:colOff>
      <xdr:row>28</xdr:row>
      <xdr:rowOff>25401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D57BAD1E-D0C7-68C5-90E9-9412F7972CC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15900" y="3771901"/>
              <a:ext cx="2565400" cy="1587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215900</xdr:colOff>
      <xdr:row>13</xdr:row>
      <xdr:rowOff>38101</xdr:rowOff>
    </xdr:from>
    <xdr:to>
      <xdr:col>3</xdr:col>
      <xdr:colOff>304800</xdr:colOff>
      <xdr:row>19</xdr:row>
      <xdr:rowOff>63501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C3FC2ED7-E635-4C91-06FA-1B7E881CF15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5900" y="2514601"/>
              <a:ext cx="2565400" cy="116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edu Osisiogu" refreshedDate="46127.446613773151" createdVersion="8" refreshedVersion="8" minRefreshableVersion="3" recordCount="1000" xr:uid="{37F80188-DFF8-704E-8E49-E48FBB3BB01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727777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64353C-9C09-EF4E-8CF8-EC7FB92298FD}"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5:D6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5F01B5-2CDA-0044-94BC-FE0FF7A3380A}"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1:D3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10" format="2" series="1">
      <pivotArea type="data" outline="0" fieldPosition="0">
        <references count="2">
          <reference field="4294967294" count="1" selected="0">
            <x v="0"/>
          </reference>
          <reference field="13" count="1" selected="0">
            <x v="0"/>
          </reference>
        </references>
      </pivotArea>
    </chartFormat>
    <chartFormat chart="10" format="3"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95EE8A-6ECD-5A48-B88E-6ED15CCC5A73}"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6ABB981-FD14-D340-A711-017D13BA0E09}" sourceName="Marital Status">
  <pivotTables>
    <pivotTable tabId="3" name="PivotTable2"/>
    <pivotTable tabId="3" name="PivotTable3"/>
    <pivotTable tabId="3" name="PivotTable4"/>
  </pivotTables>
  <data>
    <tabular pivotCacheId="15727777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7E0A570-9578-534B-ABE5-A52A9EB24EC5}" sourceName="Education">
  <pivotTables>
    <pivotTable tabId="3" name="PivotTable2"/>
    <pivotTable tabId="3" name="PivotTable3"/>
    <pivotTable tabId="3" name="PivotTable4"/>
  </pivotTables>
  <data>
    <tabular pivotCacheId="157277773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991F68-474A-CE4B-98BF-B48FAE76ACE3}" sourceName="Region">
  <pivotTables>
    <pivotTable tabId="3" name="PivotTable2"/>
    <pivotTable tabId="3" name="PivotTable3"/>
    <pivotTable tabId="3" name="PivotTable4"/>
  </pivotTables>
  <data>
    <tabular pivotCacheId="157277773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47A940F-0A5A-3D41-BF4D-C17E9776A77A}" cache="Slicer_Marital_Status" caption="Marital Status" rowHeight="230716"/>
  <slicer name="Education" xr10:uid="{1A929880-8093-3744-912D-68126D5D2325}" cache="Slicer_Education" caption="Education" rowHeight="230716"/>
  <slicer name="Region" xr10:uid="{F3BDEB17-1687-0949-A93E-49920646FBE1}"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120" zoomScaleNormal="120" workbookViewId="0">
      <selection activeCell="P3" sqref="P3"/>
    </sheetView>
  </sheetViews>
  <sheetFormatPr baseColWidth="10" defaultColWidth="11.83203125" defaultRowHeight="15" x14ac:dyDescent="0.2"/>
  <cols>
    <col min="7" max="7" width="12.1640625" bestFit="1" customWidth="1"/>
    <col min="10" max="10" width="15.5" bestFit="1" customWidth="1"/>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9A49D-66A6-EB4B-9B75-87538FF9F223}">
  <dimension ref="A1:N1001"/>
  <sheetViews>
    <sheetView topLeftCell="A12" workbookViewId="0">
      <selection activeCell="O784" sqref="O784"/>
    </sheetView>
  </sheetViews>
  <sheetFormatPr baseColWidth="10" defaultColWidth="11.83203125" defaultRowHeight="15" x14ac:dyDescent="0.2"/>
  <cols>
    <col min="4" max="4" width="11.83203125" style="3"/>
    <col min="6" max="6" width="15.5" bestFit="1" customWidth="1"/>
    <col min="7" max="7" width="12.1640625" bestFit="1" customWidth="1"/>
    <col min="10" max="10" width="15.6640625" bestFit="1" customWidth="1"/>
    <col min="14" max="14" width="15.5" customWidth="1"/>
  </cols>
  <sheetData>
    <row r="1" spans="1:14" x14ac:dyDescent="0.2">
      <c r="A1" t="s">
        <v>0</v>
      </c>
      <c r="B1" t="s">
        <v>1</v>
      </c>
      <c r="C1" t="s">
        <v>2</v>
      </c>
      <c r="D1" s="3" t="s">
        <v>3</v>
      </c>
      <c r="E1" t="s">
        <v>4</v>
      </c>
      <c r="F1" t="s">
        <v>5</v>
      </c>
      <c r="G1" t="s">
        <v>6</v>
      </c>
      <c r="H1" t="s">
        <v>7</v>
      </c>
      <c r="I1" t="s">
        <v>8</v>
      </c>
      <c r="J1" t="s">
        <v>9</v>
      </c>
      <c r="K1" t="s">
        <v>10</v>
      </c>
      <c r="L1" t="s">
        <v>11</v>
      </c>
      <c r="M1" t="s">
        <v>40</v>
      </c>
      <c r="N1" t="s">
        <v>12</v>
      </c>
    </row>
    <row r="2" spans="1:14" x14ac:dyDescent="0.2">
      <c r="A2">
        <v>12496</v>
      </c>
      <c r="B2" t="s">
        <v>36</v>
      </c>
      <c r="C2" t="s">
        <v>39</v>
      </c>
      <c r="D2" s="3">
        <v>40000</v>
      </c>
      <c r="E2">
        <v>1</v>
      </c>
      <c r="F2" t="s">
        <v>13</v>
      </c>
      <c r="G2" t="s">
        <v>14</v>
      </c>
      <c r="H2" t="s">
        <v>15</v>
      </c>
      <c r="I2">
        <v>0</v>
      </c>
      <c r="J2" t="s">
        <v>16</v>
      </c>
      <c r="K2" t="s">
        <v>17</v>
      </c>
      <c r="L2">
        <v>42</v>
      </c>
      <c r="M2" t="str">
        <f>IF(L2&gt;54,"Old",IF(L2&gt;=31, "Middle Age",IF(L2&lt;31,"Adolescent", "Invalid")))</f>
        <v>Middle Age</v>
      </c>
      <c r="N2" t="s">
        <v>18</v>
      </c>
    </row>
    <row r="3" spans="1:14" x14ac:dyDescent="0.2">
      <c r="A3">
        <v>24107</v>
      </c>
      <c r="B3" t="s">
        <v>36</v>
      </c>
      <c r="C3" t="s">
        <v>38</v>
      </c>
      <c r="D3" s="3">
        <v>30000</v>
      </c>
      <c r="E3">
        <v>3</v>
      </c>
      <c r="F3" t="s">
        <v>19</v>
      </c>
      <c r="G3" t="s">
        <v>20</v>
      </c>
      <c r="H3" t="s">
        <v>15</v>
      </c>
      <c r="I3">
        <v>1</v>
      </c>
      <c r="J3" t="s">
        <v>16</v>
      </c>
      <c r="K3" t="s">
        <v>17</v>
      </c>
      <c r="L3">
        <v>43</v>
      </c>
      <c r="M3" t="str">
        <f t="shared" ref="M3:M66" si="0">IF(L3&gt;54,"Old",IF(L3&gt;=31, "Middle Age",IF(L3&lt;31,"Adolescent", "Invalid")))</f>
        <v>Middle Age</v>
      </c>
      <c r="N3" t="s">
        <v>18</v>
      </c>
    </row>
    <row r="4" spans="1:14" x14ac:dyDescent="0.2">
      <c r="A4">
        <v>14177</v>
      </c>
      <c r="B4" t="s">
        <v>36</v>
      </c>
      <c r="C4" t="s">
        <v>38</v>
      </c>
      <c r="D4" s="3">
        <v>80000</v>
      </c>
      <c r="E4">
        <v>5</v>
      </c>
      <c r="F4" t="s">
        <v>19</v>
      </c>
      <c r="G4" t="s">
        <v>21</v>
      </c>
      <c r="H4" t="s">
        <v>18</v>
      </c>
      <c r="I4">
        <v>2</v>
      </c>
      <c r="J4" t="s">
        <v>22</v>
      </c>
      <c r="K4" t="s">
        <v>17</v>
      </c>
      <c r="L4">
        <v>60</v>
      </c>
      <c r="M4" t="str">
        <f t="shared" si="0"/>
        <v>Old</v>
      </c>
      <c r="N4" t="s">
        <v>18</v>
      </c>
    </row>
    <row r="5" spans="1:14" x14ac:dyDescent="0.2">
      <c r="A5">
        <v>24381</v>
      </c>
      <c r="B5" t="s">
        <v>37</v>
      </c>
      <c r="C5" t="s">
        <v>38</v>
      </c>
      <c r="D5" s="3">
        <v>70000</v>
      </c>
      <c r="E5">
        <v>0</v>
      </c>
      <c r="F5" t="s">
        <v>13</v>
      </c>
      <c r="G5" t="s">
        <v>21</v>
      </c>
      <c r="H5" t="s">
        <v>15</v>
      </c>
      <c r="I5">
        <v>1</v>
      </c>
      <c r="J5" t="s">
        <v>23</v>
      </c>
      <c r="K5" t="s">
        <v>24</v>
      </c>
      <c r="L5">
        <v>41</v>
      </c>
      <c r="M5" t="str">
        <f t="shared" si="0"/>
        <v>Middle Age</v>
      </c>
      <c r="N5" t="s">
        <v>15</v>
      </c>
    </row>
    <row r="6" spans="1:14" x14ac:dyDescent="0.2">
      <c r="A6">
        <v>25597</v>
      </c>
      <c r="B6" t="s">
        <v>37</v>
      </c>
      <c r="C6" t="s">
        <v>38</v>
      </c>
      <c r="D6" s="3">
        <v>30000</v>
      </c>
      <c r="E6">
        <v>0</v>
      </c>
      <c r="F6" t="s">
        <v>13</v>
      </c>
      <c r="G6" t="s">
        <v>20</v>
      </c>
      <c r="H6" t="s">
        <v>18</v>
      </c>
      <c r="I6">
        <v>0</v>
      </c>
      <c r="J6" t="s">
        <v>16</v>
      </c>
      <c r="K6" t="s">
        <v>17</v>
      </c>
      <c r="L6">
        <v>36</v>
      </c>
      <c r="M6" t="str">
        <f t="shared" si="0"/>
        <v>Middle Age</v>
      </c>
      <c r="N6" t="s">
        <v>15</v>
      </c>
    </row>
    <row r="7" spans="1:14" x14ac:dyDescent="0.2">
      <c r="A7">
        <v>13507</v>
      </c>
      <c r="B7" t="s">
        <v>36</v>
      </c>
      <c r="C7" t="s">
        <v>39</v>
      </c>
      <c r="D7" s="3">
        <v>10000</v>
      </c>
      <c r="E7">
        <v>2</v>
      </c>
      <c r="F7" t="s">
        <v>19</v>
      </c>
      <c r="G7" t="s">
        <v>25</v>
      </c>
      <c r="H7" t="s">
        <v>15</v>
      </c>
      <c r="I7">
        <v>0</v>
      </c>
      <c r="J7" t="s">
        <v>26</v>
      </c>
      <c r="K7" t="s">
        <v>17</v>
      </c>
      <c r="L7">
        <v>50</v>
      </c>
      <c r="M7" t="str">
        <f t="shared" si="0"/>
        <v>Middle Age</v>
      </c>
      <c r="N7" t="s">
        <v>18</v>
      </c>
    </row>
    <row r="8" spans="1:14" x14ac:dyDescent="0.2">
      <c r="A8">
        <v>27974</v>
      </c>
      <c r="B8" t="s">
        <v>37</v>
      </c>
      <c r="C8" t="s">
        <v>38</v>
      </c>
      <c r="D8" s="3">
        <v>160000</v>
      </c>
      <c r="E8">
        <v>2</v>
      </c>
      <c r="F8" t="s">
        <v>27</v>
      </c>
      <c r="G8" t="s">
        <v>28</v>
      </c>
      <c r="H8" t="s">
        <v>15</v>
      </c>
      <c r="I8">
        <v>4</v>
      </c>
      <c r="J8" t="s">
        <v>16</v>
      </c>
      <c r="K8" t="s">
        <v>24</v>
      </c>
      <c r="L8">
        <v>33</v>
      </c>
      <c r="M8" t="str">
        <f t="shared" si="0"/>
        <v>Middle Age</v>
      </c>
      <c r="N8" t="s">
        <v>15</v>
      </c>
    </row>
    <row r="9" spans="1:14" x14ac:dyDescent="0.2">
      <c r="A9">
        <v>19364</v>
      </c>
      <c r="B9" t="s">
        <v>36</v>
      </c>
      <c r="C9" t="s">
        <v>38</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
      <c r="A67">
        <v>29337</v>
      </c>
      <c r="B67" t="s">
        <v>37</v>
      </c>
      <c r="C67" t="s">
        <v>38</v>
      </c>
      <c r="D67" s="3">
        <v>30000</v>
      </c>
      <c r="E67">
        <v>2</v>
      </c>
      <c r="F67" t="s">
        <v>19</v>
      </c>
      <c r="G67" t="s">
        <v>20</v>
      </c>
      <c r="H67" t="s">
        <v>15</v>
      </c>
      <c r="I67">
        <v>2</v>
      </c>
      <c r="J67" t="s">
        <v>23</v>
      </c>
      <c r="K67" t="s">
        <v>24</v>
      </c>
      <c r="L67">
        <v>68</v>
      </c>
      <c r="M67" t="str">
        <f t="shared" ref="M67:M130" si="1">IF(L67&gt;54,"Old",IF(L67&gt;=31, "Middle Age",IF(L67&lt;31,"Adolescent", "Invalid")))</f>
        <v>Old</v>
      </c>
      <c r="N67" t="s">
        <v>18</v>
      </c>
    </row>
    <row r="68" spans="1:14" x14ac:dyDescent="0.2">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38</v>
      </c>
      <c r="D131" s="3">
        <v>10000</v>
      </c>
      <c r="E131">
        <v>3</v>
      </c>
      <c r="F131" t="s">
        <v>27</v>
      </c>
      <c r="G131" t="s">
        <v>25</v>
      </c>
      <c r="H131" t="s">
        <v>15</v>
      </c>
      <c r="I131">
        <v>1</v>
      </c>
      <c r="J131" t="s">
        <v>16</v>
      </c>
      <c r="K131" t="s">
        <v>17</v>
      </c>
      <c r="L131">
        <v>39</v>
      </c>
      <c r="M131" t="str">
        <f t="shared" ref="M131:M194" si="2">IF(L131&gt;54,"Old",IF(L131&gt;=31, "Middle Age",IF(L131&lt;31,"Adolescent", "Invalid")))</f>
        <v>Middle Age</v>
      </c>
      <c r="N131" t="s">
        <v>15</v>
      </c>
    </row>
    <row r="132" spans="1:14" x14ac:dyDescent="0.2">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
      <c r="A195">
        <v>26032</v>
      </c>
      <c r="B195" t="s">
        <v>36</v>
      </c>
      <c r="C195" t="s">
        <v>39</v>
      </c>
      <c r="D195" s="3">
        <v>70000</v>
      </c>
      <c r="E195">
        <v>5</v>
      </c>
      <c r="F195" t="s">
        <v>13</v>
      </c>
      <c r="G195" t="s">
        <v>21</v>
      </c>
      <c r="H195" t="s">
        <v>15</v>
      </c>
      <c r="I195">
        <v>4</v>
      </c>
      <c r="J195" t="s">
        <v>46</v>
      </c>
      <c r="K195" t="s">
        <v>24</v>
      </c>
      <c r="L195">
        <v>41</v>
      </c>
      <c r="M195" t="str">
        <f t="shared" ref="M195:M258" si="3">IF(L195&gt;54,"Old",IF(L195&gt;=31, "Middle Age",IF(L195&lt;31,"Adolescent", "Invalid")))</f>
        <v>Middle Age</v>
      </c>
      <c r="N195" t="s">
        <v>18</v>
      </c>
    </row>
    <row r="196" spans="1:14" x14ac:dyDescent="0.2">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39</v>
      </c>
      <c r="D259" s="3">
        <v>50000</v>
      </c>
      <c r="E259">
        <v>0</v>
      </c>
      <c r="F259" t="s">
        <v>31</v>
      </c>
      <c r="G259" t="s">
        <v>14</v>
      </c>
      <c r="H259" t="s">
        <v>15</v>
      </c>
      <c r="I259">
        <v>0</v>
      </c>
      <c r="J259" t="s">
        <v>16</v>
      </c>
      <c r="K259" t="s">
        <v>17</v>
      </c>
      <c r="L259">
        <v>36</v>
      </c>
      <c r="M259" t="str">
        <f t="shared" ref="M259:M322" si="4">IF(L259&gt;54,"Old",IF(L259&gt;=31, "Middle Age",IF(L259&lt;31,"Adolescent", "Invalid")))</f>
        <v>Middle Age</v>
      </c>
      <c r="N259" t="s">
        <v>15</v>
      </c>
    </row>
    <row r="260" spans="1:14" x14ac:dyDescent="0.2">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39</v>
      </c>
      <c r="D323" s="3">
        <v>160000</v>
      </c>
      <c r="E323">
        <v>0</v>
      </c>
      <c r="F323" t="s">
        <v>31</v>
      </c>
      <c r="G323" t="s">
        <v>28</v>
      </c>
      <c r="H323" t="s">
        <v>18</v>
      </c>
      <c r="I323">
        <v>3</v>
      </c>
      <c r="J323" t="s">
        <v>16</v>
      </c>
      <c r="K323" t="s">
        <v>24</v>
      </c>
      <c r="L323">
        <v>47</v>
      </c>
      <c r="M323" t="str">
        <f t="shared" ref="M323:M386" si="5">IF(L323&gt;54,"Old",IF(L323&gt;=31, "Middle Age",IF(L323&lt;31,"Adolescent", "Invalid")))</f>
        <v>Middle Age</v>
      </c>
      <c r="N323" t="s">
        <v>15</v>
      </c>
    </row>
    <row r="324" spans="1:14" x14ac:dyDescent="0.2">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38</v>
      </c>
      <c r="D387" s="3">
        <v>30000</v>
      </c>
      <c r="E387">
        <v>3</v>
      </c>
      <c r="F387" t="s">
        <v>19</v>
      </c>
      <c r="G387" t="s">
        <v>20</v>
      </c>
      <c r="H387" t="s">
        <v>15</v>
      </c>
      <c r="I387">
        <v>0</v>
      </c>
      <c r="J387" t="s">
        <v>16</v>
      </c>
      <c r="K387" t="s">
        <v>17</v>
      </c>
      <c r="L387">
        <v>43</v>
      </c>
      <c r="M387" t="str">
        <f t="shared" ref="M387:M450" si="6">IF(L387&gt;54,"Old",IF(L387&gt;=31, "Middle Age",IF(L387&lt;31,"Adolescent", "Invalid")))</f>
        <v>Middle Age</v>
      </c>
      <c r="N387" t="s">
        <v>18</v>
      </c>
    </row>
    <row r="388" spans="1:14" x14ac:dyDescent="0.2">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39</v>
      </c>
      <c r="D451" s="3">
        <v>40000</v>
      </c>
      <c r="E451">
        <v>1</v>
      </c>
      <c r="F451" t="s">
        <v>13</v>
      </c>
      <c r="G451" t="s">
        <v>14</v>
      </c>
      <c r="H451" t="s">
        <v>15</v>
      </c>
      <c r="I451">
        <v>0</v>
      </c>
      <c r="J451" t="s">
        <v>16</v>
      </c>
      <c r="K451" t="s">
        <v>17</v>
      </c>
      <c r="L451">
        <v>42</v>
      </c>
      <c r="M451" t="str">
        <f t="shared" ref="M451:M514" si="7">IF(L451&gt;54,"Old",IF(L451&gt;=31, "Middle Age",IF(L451&lt;31,"Adolescent", "Invalid")))</f>
        <v>Middle Age</v>
      </c>
      <c r="N451" t="s">
        <v>18</v>
      </c>
    </row>
    <row r="452" spans="1:14" x14ac:dyDescent="0.2">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39</v>
      </c>
      <c r="D515" s="3">
        <v>60000</v>
      </c>
      <c r="E515">
        <v>4</v>
      </c>
      <c r="F515" t="s">
        <v>31</v>
      </c>
      <c r="G515" t="s">
        <v>28</v>
      </c>
      <c r="H515" t="s">
        <v>15</v>
      </c>
      <c r="I515">
        <v>2</v>
      </c>
      <c r="J515" t="s">
        <v>46</v>
      </c>
      <c r="K515" t="s">
        <v>32</v>
      </c>
      <c r="L515">
        <v>61</v>
      </c>
      <c r="M515" t="str">
        <f t="shared" ref="M515:M578" si="8">IF(L515&gt;54,"Old",IF(L515&gt;=31, "Middle Age",IF(L515&lt;31,"Adolescent", "Invalid")))</f>
        <v>Old</v>
      </c>
      <c r="N515" t="s">
        <v>15</v>
      </c>
    </row>
    <row r="516" spans="1:14" x14ac:dyDescent="0.2">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38</v>
      </c>
      <c r="D579" s="3">
        <v>120000</v>
      </c>
      <c r="E579">
        <v>1</v>
      </c>
      <c r="F579" t="s">
        <v>13</v>
      </c>
      <c r="G579" t="s">
        <v>28</v>
      </c>
      <c r="H579" t="s">
        <v>15</v>
      </c>
      <c r="I579">
        <v>4</v>
      </c>
      <c r="J579" t="s">
        <v>16</v>
      </c>
      <c r="K579" t="s">
        <v>32</v>
      </c>
      <c r="L579">
        <v>38</v>
      </c>
      <c r="M579" t="str">
        <f t="shared" ref="M579:M642" si="9">IF(L579&gt;54,"Old",IF(L579&gt;=31, "Middle Age",IF(L579&lt;31,"Adolescent", "Invalid")))</f>
        <v>Middle Age</v>
      </c>
      <c r="N579" t="s">
        <v>18</v>
      </c>
    </row>
    <row r="580" spans="1:14" x14ac:dyDescent="0.2">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38</v>
      </c>
      <c r="D643" s="3">
        <v>50000</v>
      </c>
      <c r="E643">
        <v>4</v>
      </c>
      <c r="F643" t="s">
        <v>13</v>
      </c>
      <c r="G643" t="s">
        <v>28</v>
      </c>
      <c r="H643" t="s">
        <v>15</v>
      </c>
      <c r="I643">
        <v>2</v>
      </c>
      <c r="J643" t="s">
        <v>46</v>
      </c>
      <c r="K643" t="s">
        <v>32</v>
      </c>
      <c r="L643">
        <v>64</v>
      </c>
      <c r="M643" t="str">
        <f t="shared" ref="M643:M706" si="10">IF(L643&gt;54,"Old",IF(L643&gt;=31, "Middle Age",IF(L643&lt;31,"Adolescent", "Invalid")))</f>
        <v>Old</v>
      </c>
      <c r="N643" t="s">
        <v>18</v>
      </c>
    </row>
    <row r="644" spans="1:14" x14ac:dyDescent="0.2">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39</v>
      </c>
      <c r="D707" s="3">
        <v>70000</v>
      </c>
      <c r="E707">
        <v>4</v>
      </c>
      <c r="F707" t="s">
        <v>13</v>
      </c>
      <c r="G707" t="s">
        <v>28</v>
      </c>
      <c r="H707" t="s">
        <v>15</v>
      </c>
      <c r="I707">
        <v>1</v>
      </c>
      <c r="J707" t="s">
        <v>46</v>
      </c>
      <c r="K707" t="s">
        <v>32</v>
      </c>
      <c r="L707">
        <v>59</v>
      </c>
      <c r="M707" t="str">
        <f t="shared" ref="M707:M770" si="11">IF(L707&gt;54,"Old",IF(L707&gt;=31, "Middle Age",IF(L707&lt;31,"Adolescent", "Invalid")))</f>
        <v>Old</v>
      </c>
      <c r="N707" t="s">
        <v>18</v>
      </c>
    </row>
    <row r="708" spans="1:14" x14ac:dyDescent="0.2">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39</v>
      </c>
      <c r="D771" s="3">
        <v>100000</v>
      </c>
      <c r="E771">
        <v>4</v>
      </c>
      <c r="F771" t="s">
        <v>13</v>
      </c>
      <c r="G771" t="s">
        <v>28</v>
      </c>
      <c r="H771" t="s">
        <v>15</v>
      </c>
      <c r="I771">
        <v>4</v>
      </c>
      <c r="J771" t="s">
        <v>16</v>
      </c>
      <c r="K771" t="s">
        <v>32</v>
      </c>
      <c r="L771">
        <v>40</v>
      </c>
      <c r="M771" t="str">
        <f t="shared" ref="M771:M834" si="12">IF(L771&gt;54,"Old",IF(L771&gt;=31, "Middle Age",IF(L771&lt;31,"Adolescent", "Invalid")))</f>
        <v>Middle Age</v>
      </c>
      <c r="N771" t="s">
        <v>18</v>
      </c>
    </row>
    <row r="772" spans="1:14" x14ac:dyDescent="0.2">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39</v>
      </c>
      <c r="D835" s="3">
        <v>70000</v>
      </c>
      <c r="E835">
        <v>0</v>
      </c>
      <c r="F835" t="s">
        <v>13</v>
      </c>
      <c r="G835" t="s">
        <v>21</v>
      </c>
      <c r="H835" t="s">
        <v>18</v>
      </c>
      <c r="I835">
        <v>1</v>
      </c>
      <c r="J835" t="s">
        <v>16</v>
      </c>
      <c r="K835" t="s">
        <v>32</v>
      </c>
      <c r="L835">
        <v>37</v>
      </c>
      <c r="M835" t="str">
        <f t="shared" ref="M835:M898" si="13">IF(L835&gt;54,"Old",IF(L835&gt;=31, "Middle Age",IF(L835&lt;31,"Adolescent", "Invalid")))</f>
        <v>Middle Age</v>
      </c>
      <c r="N835" t="s">
        <v>15</v>
      </c>
    </row>
    <row r="836" spans="1:14" x14ac:dyDescent="0.2">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38</v>
      </c>
      <c r="D899" s="3">
        <v>30000</v>
      </c>
      <c r="E899">
        <v>0</v>
      </c>
      <c r="F899" t="s">
        <v>29</v>
      </c>
      <c r="G899" t="s">
        <v>20</v>
      </c>
      <c r="H899" t="s">
        <v>18</v>
      </c>
      <c r="I899">
        <v>2</v>
      </c>
      <c r="J899" t="s">
        <v>16</v>
      </c>
      <c r="K899" t="s">
        <v>32</v>
      </c>
      <c r="L899">
        <v>28</v>
      </c>
      <c r="M899" t="str">
        <f t="shared" ref="M899:M962" si="14">IF(L899&gt;54,"Old",IF(L899&gt;=31, "Middle Age",IF(L899&lt;31,"Adolescent", "Invalid")))</f>
        <v>Adolescent</v>
      </c>
      <c r="N899" t="s">
        <v>18</v>
      </c>
    </row>
    <row r="900" spans="1:14" x14ac:dyDescent="0.2">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39</v>
      </c>
      <c r="D963" s="3">
        <v>120000</v>
      </c>
      <c r="E963">
        <v>2</v>
      </c>
      <c r="F963" t="s">
        <v>13</v>
      </c>
      <c r="G963" t="s">
        <v>28</v>
      </c>
      <c r="H963" t="s">
        <v>15</v>
      </c>
      <c r="I963">
        <v>3</v>
      </c>
      <c r="J963" t="s">
        <v>23</v>
      </c>
      <c r="K963" t="s">
        <v>32</v>
      </c>
      <c r="L963">
        <v>62</v>
      </c>
      <c r="M963" t="str">
        <f t="shared" ref="M963:M1001" si="15">IF(L963&gt;54,"Old",IF(L963&gt;=31, "Middle Age",IF(L963&lt;31,"Adolescent", "Invalid")))</f>
        <v>Old</v>
      </c>
      <c r="N963" t="s">
        <v>18</v>
      </c>
    </row>
    <row r="964" spans="1:14" x14ac:dyDescent="0.2">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E8666-0102-2F4F-9900-7C95106DCA46}">
  <dimension ref="A3:D60"/>
  <sheetViews>
    <sheetView topLeftCell="A20" workbookViewId="0">
      <selection activeCell="N30" sqref="N30"/>
    </sheetView>
  </sheetViews>
  <sheetFormatPr baseColWidth="10" defaultRowHeight="15" x14ac:dyDescent="0.2"/>
  <cols>
    <col min="1" max="1" width="15.5" bestFit="1" customWidth="1"/>
    <col min="2" max="2" width="14.83203125" bestFit="1" customWidth="1"/>
    <col min="3" max="3" width="7.6640625" bestFit="1" customWidth="1"/>
    <col min="4" max="4" width="10" bestFit="1" customWidth="1"/>
  </cols>
  <sheetData>
    <row r="3" spans="1:4" x14ac:dyDescent="0.2">
      <c r="A3" s="4" t="s">
        <v>43</v>
      </c>
      <c r="B3" s="4" t="s">
        <v>44</v>
      </c>
    </row>
    <row r="4" spans="1:4" x14ac:dyDescent="0.2">
      <c r="A4" s="4" t="s">
        <v>41</v>
      </c>
      <c r="B4" t="s">
        <v>18</v>
      </c>
      <c r="C4" t="s">
        <v>15</v>
      </c>
      <c r="D4" t="s">
        <v>42</v>
      </c>
    </row>
    <row r="5" spans="1:4" x14ac:dyDescent="0.2">
      <c r="A5" s="5" t="s">
        <v>39</v>
      </c>
      <c r="B5" s="3">
        <v>53440</v>
      </c>
      <c r="C5" s="3">
        <v>55774.058577405856</v>
      </c>
      <c r="D5" s="3">
        <v>54580.777096114522</v>
      </c>
    </row>
    <row r="6" spans="1:4" x14ac:dyDescent="0.2">
      <c r="A6" s="5" t="s">
        <v>38</v>
      </c>
      <c r="B6" s="3">
        <v>56208.178438661707</v>
      </c>
      <c r="C6" s="3">
        <v>60123.966942148763</v>
      </c>
      <c r="D6" s="3">
        <v>58062.62230919765</v>
      </c>
    </row>
    <row r="7" spans="1:4" x14ac:dyDescent="0.2">
      <c r="A7" s="5" t="s">
        <v>42</v>
      </c>
      <c r="B7" s="3">
        <v>54874.759152215796</v>
      </c>
      <c r="C7" s="3">
        <v>57962.577962577961</v>
      </c>
      <c r="D7" s="3">
        <v>56360</v>
      </c>
    </row>
    <row r="31" spans="1:4" x14ac:dyDescent="0.2">
      <c r="A31" s="4" t="s">
        <v>45</v>
      </c>
      <c r="B31" s="4" t="s">
        <v>44</v>
      </c>
    </row>
    <row r="32" spans="1:4" x14ac:dyDescent="0.2">
      <c r="A32" s="4" t="s">
        <v>41</v>
      </c>
      <c r="B32" t="s">
        <v>18</v>
      </c>
      <c r="C32" t="s">
        <v>15</v>
      </c>
      <c r="D32" t="s">
        <v>42</v>
      </c>
    </row>
    <row r="33" spans="1:4" x14ac:dyDescent="0.2">
      <c r="A33" s="5" t="s">
        <v>16</v>
      </c>
      <c r="B33" s="8">
        <v>166</v>
      </c>
      <c r="C33" s="8">
        <v>200</v>
      </c>
      <c r="D33" s="8">
        <v>366</v>
      </c>
    </row>
    <row r="34" spans="1:4" x14ac:dyDescent="0.2">
      <c r="A34" s="5" t="s">
        <v>26</v>
      </c>
      <c r="B34" s="8">
        <v>92</v>
      </c>
      <c r="C34" s="8">
        <v>77</v>
      </c>
      <c r="D34" s="8">
        <v>169</v>
      </c>
    </row>
    <row r="35" spans="1:4" x14ac:dyDescent="0.2">
      <c r="A35" s="5" t="s">
        <v>22</v>
      </c>
      <c r="B35" s="8">
        <v>67</v>
      </c>
      <c r="C35" s="8">
        <v>95</v>
      </c>
      <c r="D35" s="8">
        <v>162</v>
      </c>
    </row>
    <row r="36" spans="1:4" x14ac:dyDescent="0.2">
      <c r="A36" s="5" t="s">
        <v>23</v>
      </c>
      <c r="B36" s="8">
        <v>116</v>
      </c>
      <c r="C36" s="8">
        <v>76</v>
      </c>
      <c r="D36" s="8">
        <v>192</v>
      </c>
    </row>
    <row r="37" spans="1:4" x14ac:dyDescent="0.2">
      <c r="A37" s="5" t="s">
        <v>46</v>
      </c>
      <c r="B37" s="8">
        <v>78</v>
      </c>
      <c r="C37" s="8">
        <v>33</v>
      </c>
      <c r="D37" s="8">
        <v>111</v>
      </c>
    </row>
    <row r="38" spans="1:4" x14ac:dyDescent="0.2">
      <c r="A38" s="5" t="s">
        <v>42</v>
      </c>
      <c r="B38" s="8">
        <v>519</v>
      </c>
      <c r="C38" s="8">
        <v>481</v>
      </c>
      <c r="D38" s="8">
        <v>1000</v>
      </c>
    </row>
    <row r="55" spans="1:4" x14ac:dyDescent="0.2">
      <c r="A55" s="4" t="s">
        <v>45</v>
      </c>
      <c r="B55" s="4" t="s">
        <v>44</v>
      </c>
    </row>
    <row r="56" spans="1:4" x14ac:dyDescent="0.2">
      <c r="A56" s="4" t="s">
        <v>41</v>
      </c>
      <c r="B56" t="s">
        <v>18</v>
      </c>
      <c r="C56" t="s">
        <v>15</v>
      </c>
      <c r="D56" t="s">
        <v>42</v>
      </c>
    </row>
    <row r="57" spans="1:4" x14ac:dyDescent="0.2">
      <c r="A57" s="5" t="s">
        <v>47</v>
      </c>
      <c r="B57" s="8">
        <v>71</v>
      </c>
      <c r="C57" s="8">
        <v>39</v>
      </c>
      <c r="D57" s="8">
        <v>110</v>
      </c>
    </row>
    <row r="58" spans="1:4" x14ac:dyDescent="0.2">
      <c r="A58" s="5" t="s">
        <v>48</v>
      </c>
      <c r="B58" s="8">
        <v>318</v>
      </c>
      <c r="C58" s="8">
        <v>383</v>
      </c>
      <c r="D58" s="8">
        <v>701</v>
      </c>
    </row>
    <row r="59" spans="1:4" x14ac:dyDescent="0.2">
      <c r="A59" s="5" t="s">
        <v>49</v>
      </c>
      <c r="B59" s="8">
        <v>130</v>
      </c>
      <c r="C59" s="8">
        <v>59</v>
      </c>
      <c r="D59" s="8">
        <v>189</v>
      </c>
    </row>
    <row r="60" spans="1:4" x14ac:dyDescent="0.2">
      <c r="A60" s="5" t="s">
        <v>42</v>
      </c>
      <c r="B60" s="8">
        <v>519</v>
      </c>
      <c r="C60" s="8">
        <v>481</v>
      </c>
      <c r="D60"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8F7E2-CE85-8641-B4AA-7B87E685CE4C}">
  <dimension ref="A1:O7"/>
  <sheetViews>
    <sheetView showGridLines="0" tabSelected="1" workbookViewId="0">
      <selection activeCell="P20" sqref="P20"/>
    </sheetView>
  </sheetViews>
  <sheetFormatPr baseColWidth="10" defaultRowHeight="15" x14ac:dyDescent="0.2"/>
  <sheetData>
    <row r="1" spans="1:15" x14ac:dyDescent="0.2">
      <c r="A1" s="6" t="s">
        <v>50</v>
      </c>
      <c r="B1" s="7"/>
      <c r="C1" s="7"/>
      <c r="D1" s="7"/>
      <c r="E1" s="7"/>
      <c r="F1" s="7"/>
      <c r="G1" s="7"/>
      <c r="H1" s="7"/>
      <c r="I1" s="7"/>
      <c r="J1" s="7"/>
      <c r="K1" s="7"/>
      <c r="L1" s="7"/>
      <c r="M1" s="7"/>
      <c r="N1" s="7"/>
      <c r="O1" s="7"/>
    </row>
    <row r="2" spans="1:15" x14ac:dyDescent="0.2">
      <c r="A2" s="7"/>
      <c r="B2" s="7"/>
      <c r="C2" s="7"/>
      <c r="D2" s="7"/>
      <c r="E2" s="7"/>
      <c r="F2" s="7"/>
      <c r="G2" s="7"/>
      <c r="H2" s="7"/>
      <c r="I2" s="7"/>
      <c r="J2" s="7"/>
      <c r="K2" s="7"/>
      <c r="L2" s="7"/>
      <c r="M2" s="7"/>
      <c r="N2" s="7"/>
      <c r="O2" s="7"/>
    </row>
    <row r="3" spans="1:15" x14ac:dyDescent="0.2">
      <c r="A3" s="7"/>
      <c r="B3" s="7"/>
      <c r="C3" s="7"/>
      <c r="D3" s="7"/>
      <c r="E3" s="7"/>
      <c r="F3" s="7"/>
      <c r="G3" s="7"/>
      <c r="H3" s="7"/>
      <c r="I3" s="7"/>
      <c r="J3" s="7"/>
      <c r="K3" s="7"/>
      <c r="L3" s="7"/>
      <c r="M3" s="7"/>
      <c r="N3" s="7"/>
      <c r="O3" s="7"/>
    </row>
    <row r="4" spans="1:15" x14ac:dyDescent="0.2">
      <c r="A4" s="7"/>
      <c r="B4" s="7"/>
      <c r="C4" s="7"/>
      <c r="D4" s="7"/>
      <c r="E4" s="7"/>
      <c r="F4" s="7"/>
      <c r="G4" s="7"/>
      <c r="H4" s="7"/>
      <c r="I4" s="7"/>
      <c r="J4" s="7"/>
      <c r="K4" s="7"/>
      <c r="L4" s="7"/>
      <c r="M4" s="7"/>
      <c r="N4" s="7"/>
      <c r="O4" s="7"/>
    </row>
    <row r="5" spans="1:15" x14ac:dyDescent="0.2">
      <c r="A5" s="7"/>
      <c r="B5" s="7"/>
      <c r="C5" s="7"/>
      <c r="D5" s="7"/>
      <c r="E5" s="7"/>
      <c r="F5" s="7"/>
      <c r="G5" s="7"/>
      <c r="H5" s="7"/>
      <c r="I5" s="7"/>
      <c r="J5" s="7"/>
      <c r="K5" s="7"/>
      <c r="L5" s="7"/>
      <c r="M5" s="7"/>
      <c r="N5" s="7"/>
      <c r="O5" s="7"/>
    </row>
    <row r="6" spans="1:15" x14ac:dyDescent="0.2">
      <c r="A6" s="7"/>
      <c r="B6" s="7"/>
      <c r="C6" s="7"/>
      <c r="D6" s="7"/>
      <c r="E6" s="7"/>
      <c r="F6" s="7"/>
      <c r="G6" s="7"/>
      <c r="H6" s="7"/>
      <c r="I6" s="7"/>
      <c r="J6" s="7"/>
      <c r="K6" s="7"/>
      <c r="L6" s="7"/>
      <c r="M6" s="7"/>
      <c r="N6" s="7"/>
      <c r="O6" s="7"/>
    </row>
    <row r="7" spans="1:15" x14ac:dyDescent="0.2">
      <c r="A7" s="7"/>
      <c r="B7" s="7"/>
      <c r="C7" s="7"/>
      <c r="D7" s="7"/>
      <c r="E7" s="7"/>
      <c r="F7" s="7"/>
      <c r="G7" s="7"/>
      <c r="H7" s="7"/>
      <c r="I7" s="7"/>
      <c r="J7" s="7"/>
      <c r="K7" s="7"/>
      <c r="L7" s="7"/>
      <c r="M7" s="7"/>
      <c r="N7" s="7"/>
      <c r="O7" s="7"/>
    </row>
  </sheetData>
  <mergeCells count="1">
    <mergeCell ref="A1: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chioma Joan osisiogu</cp:lastModifiedBy>
  <dcterms:created xsi:type="dcterms:W3CDTF">2022-03-18T02:50:57Z</dcterms:created>
  <dcterms:modified xsi:type="dcterms:W3CDTF">2026-04-15T13:32:17Z</dcterms:modified>
</cp:coreProperties>
</file>